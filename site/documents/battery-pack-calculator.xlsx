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febe8428204d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tery_Calculator" sheetId="1" r:id="R0c1a8b577e12475b"/>
    <x:sheet xmlns:r="http://schemas.openxmlformats.org/officeDocument/2006/relationships" name="Cell_DB" sheetId="2" r:id="R4bb22b29d09a4c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@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7"/>
      <x:color rgb="FF1F2937"/>
      <x:name val="Carlito"/>
    </x:font>
    <x:font>
      <x:b/>
      <x:sz val="11"/>
      <x:color rgb="FF1F2937"/>
      <x:name val="Carlito"/>
    </x:font>
    <x:font>
      <x:b/>
      <x:sz val="10"/>
      <x:color rgb="FF1F2937"/>
      <x:name val="Carlito"/>
    </x:font>
    <x:font>
      <x:b/>
      <x:sz val="9"/>
      <x:color rgb="FF6B7280"/>
      <x:name val="Carlito"/>
    </x:font>
    <x:font>
      <x:b/>
      <x:sz val="12"/>
      <x:color rgb="FF0F4C8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FFF"/>
      </x:patternFill>
    </x:fill>
    <x:fill>
      <x:patternFill patternType="solid">
        <x:fgColor rgb="FFDDE6EE"/>
      </x:patternFill>
    </x:fill>
    <x:fill>
      <x:patternFill patternType="solid">
        <x:fgColor rgb="FFE9EEF3"/>
      </x:patternFill>
    </x:fill>
    <x:fill>
      <x:patternFill patternType="solid">
        <x:fgColor rgb="FFF7F9FB"/>
      </x:patternFill>
    </x:fill>
  </x:fills>
  <x:borders count="8">
    <x:border/>
    <x:border/>
    <x:border>
      <x:bottom style="thin">
        <x:color rgb="FFD7DDE3"/>
      </x:bottom>
    </x:border>
    <x:border>
      <x:bottom style="thin">
        <x:color rgb="FFD7DDE3"/>
      </x:bottom>
    </x:border>
    <x:border>
      <x:left style="thin">
        <x:color rgb="FFD7DDE3"/>
      </x:left>
      <x:right style="thin">
        <x:color rgb="FFD7DDE3"/>
      </x:right>
      <x:bottom style="thin">
        <x:color rgb="FFD7DDE3"/>
      </x:bottom>
    </x:border>
    <x:border>
      <x:left style="thin">
        <x:color rgb="FFD7DDE3"/>
      </x:left>
      <x:right style="thin">
        <x:color rgb="FFD7DDE3"/>
      </x:right>
      <x:bottom style="thin">
        <x:color rgb="FFD7DDE3"/>
      </x:bottom>
    </x:border>
    <x:border>
      <x:left style="thin">
        <x:color rgb="FFD7DDE3"/>
      </x:left>
      <x:bottom style="thin">
        <x:color rgb="FFD7DDE3"/>
      </x:bottom>
    </x:border>
    <x:border>
      <x:left style="thin">
        <x:color rgb="FFD7DDE3"/>
      </x:left>
      <x:bottom style="thin">
        <x:color rgb="FFD7DDE3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left"/>
    </x:xf>
    <x:xf numFmtId="0" fontId="3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left"/>
    </x:xf>
    <x:xf numFmtId="0" fontId="3" fillId="5" borderId="1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/>
    <x:xf numFmtId="0" fontId="4" fillId="3" borderId="3" xfId="0" applyNumberFormat="1" applyFont="1" applyFill="1" applyBorder="1"/>
    <x:xf numFmtId="0" fontId="4" fillId="3" borderId="3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4" xfId="0" applyNumberFormat="1" applyFont="1" applyFill="1" applyBorder="1"/>
    <x:xf numFmtId="0" fontId="4" fillId="6" borderId="4" xfId="0" applyNumberFormat="1" applyFont="1" applyFill="1" applyBorder="1" applyAlignment="1">
      <x:alignment horizontal="center"/>
    </x:xf>
    <x:xf numFmtId="0" fontId="4" fillId="6" borderId="4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5" xfId="0" applyNumberFormat="1" applyFont="1" applyFill="1" applyBorder="1"/>
    <x:xf numFmtId="0" fontId="4" fillId="6" borderId="5" xfId="0" applyNumberFormat="1" applyFont="1" applyFill="1" applyBorder="1" applyAlignment="1">
      <x:alignment horizontal="center"/>
    </x:xf>
    <x:xf numFmtId="0" fontId="4" fillId="6" borderId="5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/>
    <x:xf numFmtId="0" fontId="5" fillId="3" borderId="3" xfId="0" applyNumberFormat="1" applyFont="1" applyFill="1" applyBorder="1"/>
    <x:xf numFmtId="0" fontId="5" fillId="3" borderId="3" xfId="0" applyNumberFormat="1" applyFont="1" applyFill="1" applyBorder="1" applyAlignment="1">
      <x:alignment vertical="center"/>
    </x:xf>
    <x:xf numFmtId="200" fontId="4" fillId="3" borderId="2" xfId="0" applyNumberFormat="1" applyFont="1" applyFill="1" applyBorder="1"/>
    <x:xf numFmtId="200" fontId="4" fillId="3" borderId="2" xfId="0" applyNumberFormat="1" applyFont="1" applyFill="1" applyBorder="1" applyAlignment="1">
      <x:alignment horizontal="center"/>
    </x:xf>
    <x:xf numFmtId="200" fontId="4" fillId="3" borderId="2" xfId="0" applyNumberFormat="1" applyFont="1" applyFill="1" applyBorder="1" applyAlignment="1">
      <x:alignment horizontal="center" vertical="center"/>
    </x:xf>
    <x:xf numFmtId="200" fontId="4" fillId="3" borderId="3" xfId="0" applyNumberFormat="1" applyFont="1" applyFill="1" applyBorder="1"/>
    <x:xf numFmtId="200" fontId="4" fillId="3" borderId="3" xfId="0" applyNumberFormat="1" applyFont="1" applyFill="1" applyBorder="1" applyAlignment="1">
      <x:alignment horizontal="center"/>
    </x:xf>
    <x:xf numFmtId="200" fontId="4" fillId="3" borderId="3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6" fillId="3" borderId="6" xfId="0" applyNumberFormat="1" applyFont="1" applyFill="1" applyBorder="1"/>
    <x:xf numFmtId="200" fontId="6" fillId="3" borderId="6" xfId="0" applyNumberFormat="1" applyFont="1" applyFill="1" applyBorder="1"/>
    <x:xf numFmtId="200" fontId="6" fillId="3" borderId="6" xfId="0" applyNumberFormat="1" applyFont="1" applyFill="1" applyBorder="1" applyAlignment="1">
      <x:alignment horizontal="center"/>
    </x:xf>
    <x:xf numFmtId="200" fontId="6" fillId="3" borderId="6" xfId="0" applyNumberFormat="1" applyFont="1" applyFill="1" applyBorder="1" applyAlignment="1">
      <x:alignment horizontal="center" vertical="center"/>
    </x:xf>
    <x:xf numFmtId="0" fontId="6" fillId="3" borderId="1" xfId="0" applyNumberFormat="1" applyFont="1" applyFill="1" applyBorder="1"/>
    <x:xf numFmtId="0" fontId="6" fillId="3" borderId="7" xfId="0" applyNumberFormat="1" applyFont="1" applyFill="1" applyBorder="1"/>
    <x:xf numFmtId="200" fontId="6" fillId="3" borderId="7" xfId="0" applyNumberFormat="1" applyFont="1" applyFill="1" applyBorder="1"/>
    <x:xf numFmtId="200" fontId="6" fillId="3" borderId="7" xfId="0" applyNumberFormat="1" applyFont="1" applyFill="1" applyBorder="1" applyAlignment="1">
      <x:alignment horizontal="center"/>
    </x:xf>
    <x:xf numFmtId="200" fontId="6" fillId="3" borderId="7" xfId="0" applyNumberFormat="1" applyFont="1" applyFill="1" applyBorder="1" applyAlignment="1">
      <x:alignment horizontal="center" vertical="center"/>
    </x:xf>
    <x:xf numFmtId="201" fontId="6" fillId="3" borderId="6" xfId="0" applyNumberFormat="1" applyFont="1" applyFill="1" applyBorder="1" applyAlignment="1">
      <x:alignment horizontal="center" vertical="center"/>
    </x:xf>
    <x:xf numFmtId="201" fontId="6" fillId="3" borderId="7" xfId="0" applyNumberFormat="1" applyFont="1" applyFill="1" applyBorder="1" applyAlignment="1">
      <x:alignment horizontal="center" vertical="center"/>
    </x:xf>
    <x:xf numFmtId="202" fontId="6" fillId="3" borderId="6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6da344f95b4bb1" /><Relationship Type="http://schemas.openxmlformats.org/officeDocument/2006/relationships/theme" Target="/xl/theme/theme1.xml" Id="R8a44c075ecd54d78" /><Relationship Type="http://schemas.openxmlformats.org/officeDocument/2006/relationships/sharedStrings" Target="/xl/sharedStrings.xml" Id="R8969942fa4ca4153" /><Relationship Type="http://schemas.openxmlformats.org/officeDocument/2006/relationships/worksheet" Target="/xl/worksheets/sheet1.xml" Id="R0c1a8b577e12475b" /><Relationship Type="http://schemas.openxmlformats.org/officeDocument/2006/relationships/worksheet" Target="/xl/worksheets/sheet2.xml" Id="R4bb22b29d09a4c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1" hidden="0" customWidth="1"/>
    <x:col min="3" max="3" width="18" hidden="0" customWidth="1"/>
    <x:col min="4" max="4" width="16" hidden="0" customWidth="1"/>
    <x:col min="5" max="5" width="18" hidden="0" customWidth="1"/>
    <x:col min="6" max="6" width="16" hidden="0" customWidth="1"/>
    <x:col min="7" max="7" width="18" hidden="0" customWidth="1"/>
    <x:col min="8" max="8" width="18" hidden="0" customWidth="1"/>
  </x:cols>
  <x:sheetData>
    <x:row r="1" ht="34" customHeight="1">
      <x:c r="A1" s="15" t="str">
        <x:v>Formula Student Battery Pack Calculator</x:v>
      </x:c>
      <x:c r="B1" s="10"/>
      <x:c r="C1" s="10"/>
      <x:c r="D1" s="10"/>
      <x:c r="E1" s="10"/>
      <x:c r="F1" s="10"/>
      <x:c r="G1" s="10"/>
      <x:c r="H1" s="10"/>
    </x:row>
    <x:row r="2">
      <x:c r="A2" s="10"/>
      <x:c r="B2" s="10"/>
      <x:c r="C2" s="10"/>
      <x:c r="D2" s="10"/>
      <x:c r="E2" s="10"/>
      <x:c r="F2" s="10"/>
      <x:c r="G2" s="10"/>
      <x:c r="H2" s="10"/>
    </x:row>
    <x:row r="3" ht="25" customHeight="1">
      <x:c r="A3" s="23" t="str">
        <x:v>INPUT</x:v>
      </x:c>
      <x:c r="B3" s="10"/>
      <x:c r="C3" s="10"/>
      <x:c r="D3" s="10"/>
      <x:c r="E3" s="23" t="str">
        <x:v>SELECTED CELL SPEC</x:v>
      </x:c>
      <x:c r="F3" s="10"/>
      <x:c r="G3" s="10"/>
      <x:c r="H3" s="10"/>
    </x:row>
    <x:row r="4" ht="25" customHeight="1">
      <x:c r="A4" s="30" t="str">
        <x:v>셀 모델</x:v>
      </x:c>
      <x:c r="B4" s="38" t="str">
        <x:v>Samsung INR21700-50S</x:v>
      </x:c>
      <x:c r="C4" s="10"/>
      <x:c r="D4" s="10"/>
      <x:c r="E4" s="46" t="str">
        <x:v>Nominal V</x:v>
      </x:c>
      <x:c r="F4" s="52" t="n">
        <x:f>VLOOKUP($B$4,Cell_DB!$A$2:$K$11,3,FALSE)</x:f>
        <x:v>3.6</x:v>
      </x:c>
      <x:c r="G4" s="46" t="str">
        <x:v>Max V</x:v>
      </x:c>
      <x:c r="H4" s="52" t="n">
        <x:f>VLOOKUP($B$4,Cell_DB!$A$2:$K$11,4,FALSE)</x:f>
        <x:v>4.2</x:v>
      </x:c>
    </x:row>
    <x:row r="5" ht="25" customHeight="1">
      <x:c r="A5" s="30" t="str">
        <x:v>S 직렬 수</x:v>
      </x:c>
      <x:c r="B5" s="38" t="n">
        <x:v>24</x:v>
      </x:c>
      <x:c r="C5" s="10"/>
      <x:c r="D5" s="10"/>
      <x:c r="E5" s="46" t="str">
        <x:v>Min V</x:v>
      </x:c>
      <x:c r="F5" s="52" t="n">
        <x:f>VLOOKUP($B$4,Cell_DB!$A$2:$K$11,5,FALSE)</x:f>
        <x:v>2.5</x:v>
      </x:c>
      <x:c r="G5" s="46" t="str">
        <x:v>Capacity Ah</x:v>
      </x:c>
      <x:c r="H5" s="52" t="n">
        <x:f>VLOOKUP($B$4,Cell_DB!$A$2:$K$11,6,FALSE)</x:f>
        <x:v>5</x:v>
      </x:c>
    </x:row>
    <x:row r="6" ht="25" customHeight="1">
      <x:c r="A6" s="30" t="str">
        <x:v>P 병렬 수</x:v>
      </x:c>
      <x:c r="B6" s="38" t="n">
        <x:v>12</x:v>
      </x:c>
      <x:c r="C6" s="10"/>
      <x:c r="D6" s="10"/>
      <x:c r="E6" s="46" t="str">
        <x:v>Continuous A</x:v>
      </x:c>
      <x:c r="F6" s="52" t="n">
        <x:f>VLOOKUP($B$4,Cell_DB!$A$2:$K$11,7,FALSE)</x:f>
        <x:v>25</x:v>
      </x:c>
      <x:c r="G6" s="46" t="str">
        <x:v>Weight g</x:v>
      </x:c>
      <x:c r="H6" s="52" t="n">
        <x:f>VLOOKUP($B$4,Cell_DB!$A$2:$K$11,8,FALSE)</x:f>
        <x:v>72</x:v>
      </x:c>
    </x:row>
    <x:row r="7" ht="25" customHeight="1">
      <x:c r="A7" s="30" t="str">
        <x:v>가로 셀 수 X</x:v>
      </x:c>
      <x:c r="B7" s="38" t="n">
        <x:v>12</x:v>
      </x:c>
      <x:c r="C7" s="10"/>
      <x:c r="D7" s="10"/>
      <x:c r="E7" s="46" t="str">
        <x:v>Diameter mm</x:v>
      </x:c>
      <x:c r="F7" s="52" t="n">
        <x:f>VLOOKUP($B$4,Cell_DB!$A$2:$K$11,9,FALSE)</x:f>
        <x:v>21.45</x:v>
      </x:c>
      <x:c r="G7" s="46" t="str">
        <x:v>Height mm</x:v>
      </x:c>
      <x:c r="H7" s="52" t="n">
        <x:f>VLOOKUP($B$4,Cell_DB!$A$2:$K$11,10,FALSE)</x:f>
        <x:v>70.55</x:v>
      </x:c>
    </x:row>
    <x:row r="8" ht="25" customHeight="1">
      <x:c r="A8" s="30" t="str">
        <x:v>세로 셀 수 Y</x:v>
      </x:c>
      <x:c r="B8" s="38" t="n">
        <x:v>4</x:v>
      </x:c>
      <x:c r="C8" s="10"/>
      <x:c r="D8" s="10"/>
      <x:c r="E8" s="46" t="str">
        <x:v>Format</x:v>
      </x:c>
      <x:c r="F8" s="52" t="n">
        <x:f>VLOOKUP($B$4,Cell_DB!$A$2:$K$11,2,FALSE)</x:f>
        <x:v>21700</x:v>
      </x:c>
      <x:c r="G8" s="10"/>
      <x:c r="H8" s="10"/>
    </x:row>
    <x:row r="9" ht="25" customHeight="1">
      <x:c r="A9" s="30" t="str">
        <x:v>셀 간격 mm</x:v>
      </x:c>
      <x:c r="B9" s="38" t="n">
        <x:v>2</x:v>
      </x:c>
      <x:c r="C9" s="10"/>
      <x:c r="D9" s="10"/>
      <x:c r="E9" s="10"/>
      <x:c r="F9" s="10"/>
      <x:c r="G9" s="10"/>
      <x:c r="H9" s="10"/>
    </x:row>
    <x:row r="10" ht="25" customHeight="1">
      <x:c r="A10" s="30" t="str">
        <x:v>셀 방향</x:v>
      </x:c>
      <x:c r="B10" s="38" t="str">
        <x:v>세워서</x:v>
      </x:c>
      <x:c r="C10" s="10"/>
      <x:c r="D10" s="10"/>
      <x:c r="E10" s="10"/>
      <x:c r="F10" s="10"/>
      <x:c r="G10" s="10"/>
      <x:c r="H10" s="10"/>
    </x:row>
    <x:row r="11" ht="25" customHeight="1">
      <x:c r="A11" s="30" t="str">
        <x:v>외곽 여유 mm</x:v>
      </x:c>
      <x:c r="B11" s="38" t="n">
        <x:v>3</x:v>
      </x:c>
      <x:c r="C11" s="10"/>
      <x:c r="D11" s="10"/>
      <x:c r="E11" s="10"/>
      <x:c r="F11" s="10"/>
      <x:c r="G11" s="10"/>
      <x:c r="H11" s="10"/>
    </x:row>
    <x:row r="12" ht="25" customHeight="1">
      <x:c r="A12" s="30" t="str">
        <x:v>층간 간격 mm</x:v>
      </x:c>
      <x:c r="B12" s="38" t="n">
        <x:v>2</x:v>
      </x:c>
      <x:c r="C12" s="10"/>
      <x:c r="D12" s="10"/>
      <x:c r="E12" s="10"/>
      <x:c r="F12" s="10"/>
      <x:c r="G12" s="10"/>
      <x:c r="H12" s="10"/>
    </x:row>
    <x:row r="13">
      <x:c r="A13" s="10"/>
      <x:c r="B13" s="10"/>
      <x:c r="C13" s="10"/>
      <x:c r="D13" s="10"/>
      <x:c r="E13" s="10"/>
      <x:c r="F13" s="10"/>
      <x:c r="G13" s="10"/>
      <x:c r="H13" s="10"/>
    </x:row>
    <x:row r="14">
      <x:c r="A14" s="10"/>
      <x:c r="B14" s="10"/>
      <x:c r="C14" s="10"/>
      <x:c r="D14" s="10"/>
      <x:c r="E14" s="10"/>
      <x:c r="F14" s="10"/>
      <x:c r="G14" s="10"/>
      <x:c r="H14" s="10"/>
    </x:row>
    <x:row r="15" ht="26" customHeight="1">
      <x:c r="A15" s="23" t="str">
        <x:v>OUTPUT</x:v>
      </x:c>
      <x:c r="B15" s="10"/>
      <x:c r="C15" s="10"/>
      <x:c r="D15" s="10"/>
      <x:c r="E15" s="10"/>
      <x:c r="F15" s="10"/>
      <x:c r="G15" s="10"/>
      <x:c r="H15" s="10"/>
    </x:row>
    <x:row r="16" ht="26" customHeight="1">
      <x:c r="A16" s="46" t="str">
        <x:v>총 셀 수</x:v>
      </x:c>
      <x:c r="B16" s="66" t="n">
        <x:f>$B$5*$B$6</x:f>
        <x:v>288</x:v>
      </x:c>
      <x:c r="C16" s="46" t="str">
        <x:v>공칭 전압 V</x:v>
      </x:c>
      <x:c r="D16" s="60" t="n">
        <x:f>VLOOKUP($B$4,Cell_DB!$A$2:$K$11,3,FALSE)*$B$5</x:f>
        <x:v>86.4</x:v>
      </x:c>
      <x:c r="E16" s="46" t="str">
        <x:v>최대 전압 V</x:v>
      </x:c>
      <x:c r="F16" s="60" t="n">
        <x:f>VLOOKUP($B$4,Cell_DB!$A$2:$K$11,4,FALSE)*$B$5</x:f>
        <x:v>100.80000000000001</x:v>
      </x:c>
      <x:c r="G16" s="46" t="str">
        <x:v>용량 Ah</x:v>
      </x:c>
      <x:c r="H16" s="60" t="n">
        <x:f>VLOOKUP($B$4,Cell_DB!$A$2:$K$11,6,FALSE)*$B$6</x:f>
        <x:v>60</x:v>
      </x:c>
    </x:row>
    <x:row r="17">
      <x:c r="A17" s="10"/>
      <x:c r="B17" s="10"/>
      <x:c r="C17" s="10"/>
      <x:c r="D17" s="10"/>
      <x:c r="E17" s="10"/>
      <x:c r="F17" s="10"/>
      <x:c r="G17" s="10"/>
      <x:c r="H17" s="10"/>
    </x:row>
    <x:row r="18" ht="26" customHeight="1">
      <x:c r="A18" s="46" t="str">
        <x:v>에너지 kWh</x:v>
      </x:c>
      <x:c r="B18" s="60" t="n">
        <x:f>(VLOOKUP($B$4,Cell_DB!$A$2:$K$11,3,FALSE)*$B$5)*(VLOOKUP($B$4,Cell_DB!$A$2:$K$11,6,FALSE)*$B$6)/1000</x:f>
        <x:v>5.184</x:v>
      </x:c>
      <x:c r="C18" s="46" t="str">
        <x:v>연속 허용전류 A</x:v>
      </x:c>
      <x:c r="D18" s="60" t="n">
        <x:f>VLOOKUP($B$4,Cell_DB!$A$2:$K$11,7,FALSE)*$B$6</x:f>
        <x:v>300</x:v>
      </x:c>
      <x:c r="E18" s="46" t="str">
        <x:v>연속 출력 kW</x:v>
      </x:c>
      <x:c r="F18" s="60" t="n">
        <x:f>(VLOOKUP($B$4,Cell_DB!$A$2:$K$11,3,FALSE)*$B$5)*(VLOOKUP($B$4,Cell_DB!$A$2:$K$11,7,FALSE)*$B$6)/1000</x:f>
        <x:v>25.92</x:v>
      </x:c>
      <x:c r="G18" s="46" t="str">
        <x:v>셀 총질량 kg</x:v>
      </x:c>
      <x:c r="H18" s="60" t="n">
        <x:f>($B$5*$B$6)*VLOOKUP($B$4,Cell_DB!$A$2:$K$11,8,FALSE)/1000</x:f>
        <x:v>20.736</x:v>
      </x:c>
    </x:row>
    <x:row r="19">
      <x:c r="A19" s="10"/>
      <x:c r="B19" s="10"/>
      <x:c r="C19" s="10"/>
      <x:c r="D19" s="10"/>
      <x:c r="E19" s="10"/>
      <x:c r="F19" s="10"/>
      <x:c r="G19" s="10"/>
      <x:c r="H19" s="10"/>
    </x:row>
    <x:row r="20" ht="26" customHeight="1">
      <x:c r="A20" s="46" t="str">
        <x:v>Pack 가로 mm</x:v>
      </x:c>
      <x:c r="B20" s="60" t="n">
        <x:f>IF($B$10="세워서",$B$7*VLOOKUP($B$4,Cell_DB!$A$2:$K$11,9,FALSE)+($B$7-1)*$B$9+2*$B$11,IF($B$10="눕혀서-X축",$B$7*VLOOKUP($B$4,Cell_DB!$A$2:$K$11,10,FALSE)+($B$7-1)*$B$9+2*$B$11,$B$7*VLOOKUP($B$4,Cell_DB!$A$2:$K$11,9,FALSE)+($B$7-1)*$B$9+2*$B$11))</x:f>
        <x:v>285.4</x:v>
      </x:c>
      <x:c r="C20" s="46" t="str">
        <x:v>Pack 세로 mm</x:v>
      </x:c>
      <x:c r="D20" s="60" t="n">
        <x:f>IF($B$10="세워서",$B$8*VLOOKUP($B$4,Cell_DB!$A$2:$K$11,9,FALSE)+($B$8-1)*$B$9+2*$B$11,IF($B$10="눕혀서-Y축",$B$8*VLOOKUP($B$4,Cell_DB!$A$2:$K$11,10,FALSE)+($B$8-1)*$B$9+2*$B$11,$B$8*VLOOKUP($B$4,Cell_DB!$A$2:$K$11,9,FALSE)+($B$8-1)*$B$9+2*$B$11))</x:f>
        <x:v>97.8</x:v>
      </x:c>
      <x:c r="E20" s="46" t="str">
        <x:v>Pack 높이 mm</x:v>
      </x:c>
      <x:c r="F20" s="60" t="n">
        <x:f>IF($B$10="세워서",ROUNDUP(($B$5*$B$6)/($B$7*$B$8),0)*VLOOKUP($B$4,Cell_DB!$A$2:$K$11,10,FALSE)+(ROUNDUP(($B$5*$B$6)/($B$7*$B$8),0)-1)*$B$12+2*$B$11,ROUNDUP(($B$5*$B$6)/($B$7*$B$8),0)*VLOOKUP($B$4,Cell_DB!$A$2:$K$11,9,FALSE)+(ROUNDUP(($B$5*$B$6)/($B$7*$B$8),0)-1)*$B$12+2*$B$11)</x:f>
        <x:v>439.29999999999995</x:v>
      </x:c>
      <x:c r="G20" s="46" t="str">
        <x:v>배치 X×Y×Layer</x:v>
      </x:c>
      <x:c r="H20" s="68" t="str">
        <x:f>$B$7&amp;" × "&amp;$B$8&amp;" × "&amp;ROUNDUP(($B$5*$B$6)/($B$7*$B$8),0)</x:f>
        <x:v>12 × 4 × 6</x:v>
      </x:c>
    </x:row>
    <x:row r="21">
      <x:c r="A21" s="10"/>
      <x:c r="B21" s="10"/>
      <x:c r="C21" s="10"/>
      <x:c r="D21" s="10"/>
      <x:c r="E21" s="10"/>
      <x:c r="F21" s="10"/>
      <x:c r="G21" s="10"/>
      <x:c r="H21" s="10"/>
    </x:row>
    <x:row r="22">
      <x:c r="A22" s="10"/>
      <x:c r="B22" s="10"/>
      <x:c r="C22" s="10"/>
      <x:c r="D22" s="10"/>
      <x:c r="E22" s="10"/>
      <x:c r="F22" s="10"/>
      <x:c r="G22" s="10"/>
      <x:c r="H22" s="10"/>
    </x:row>
    <x:row r="23">
      <x:c r="A23" s="10"/>
      <x:c r="B23" s="10"/>
      <x:c r="C23" s="10"/>
      <x:c r="D23" s="10"/>
      <x:c r="E23" s="10"/>
      <x:c r="F23" s="10"/>
      <x:c r="G23" s="10"/>
      <x:c r="H23" s="10"/>
    </x:row>
    <x:row r="24">
      <x:c r="A24" s="10"/>
      <x:c r="B24" s="10"/>
      <x:c r="C24" s="10"/>
      <x:c r="D24" s="10"/>
      <x:c r="E24" s="10"/>
      <x:c r="F24" s="10"/>
      <x:c r="G24" s="10"/>
      <x:c r="H24" s="10"/>
    </x:row>
  </x:sheetData>
  <x:mergeCells>
    <x:mergeCell ref="A1:H1"/>
    <x:mergeCell ref="A3:D3"/>
    <x:mergeCell ref="E3:H3"/>
    <x:mergeCell ref="A15:H15"/>
  </x:mergeCells>
  <x:dataValidations count="2">
    <x:dataValidation type="list" sqref="B4">
      <x:formula1>"Samsung INR18650-30Q,Samsung INR21700-40T,Samsung INR21700-50S,Molicel INR18650-P28A,Molicel INR21700-P42A,Molicel INR21700-P45B,Molicel INR21700-P50B,Murata US18650VTC6,Murata US21700VTC6A,Samsung INR21700-50E"</x:formula1>
    </x:dataValidation>
    <x:dataValidation type="list" sqref="B10">
      <x:formula1>"세워서,눕혀서-X축,눕혀서-Y축"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48" hidden="0" customWidth="1"/>
  </x:cols>
  <x:sheetData>
    <x:row r="1">
      <x:c r="A1" s="5" t="str">
        <x:v>Cell Model</x:v>
      </x:c>
      <x:c r="B1" s="5" t="str">
        <x:v>Format</x:v>
      </x:c>
      <x:c r="C1" s="5" t="str">
        <x:v>Nominal V</x:v>
      </x:c>
      <x:c r="D1" s="5" t="str">
        <x:v>Max V</x:v>
      </x:c>
      <x:c r="E1" s="5" t="str">
        <x:v>Min V</x:v>
      </x:c>
      <x:c r="F1" s="5" t="str">
        <x:v>Capacity Ah</x:v>
      </x:c>
      <x:c r="G1" s="5" t="str">
        <x:v>Continuous A</x:v>
      </x:c>
      <x:c r="H1" s="5" t="str">
        <x:v>Weight g</x:v>
      </x:c>
      <x:c r="I1" s="5" t="str">
        <x:v>Diameter mm</x:v>
      </x:c>
      <x:c r="J1" s="5" t="str">
        <x:v>Height mm</x:v>
      </x:c>
      <x:c r="K1" s="5" t="str">
        <x:v>Source URL</x:v>
      </x:c>
    </x:row>
    <x:row r="2">
      <x:c r="A2" t="str">
        <x:v>Samsung INR18650-30Q</x:v>
      </x:c>
      <x:c r="B2" t="str">
        <x:v>18650</x:v>
      </x:c>
      <x:c r="C2" t="n">
        <x:v>3.6</x:v>
      </x:c>
      <x:c r="D2" t="n">
        <x:v>4.2</x:v>
      </x:c>
      <x:c r="E2" t="n">
        <x:v>2.5</x:v>
      </x:c>
      <x:c r="F2" t="n">
        <x:v>3</x:v>
      </x:c>
      <x:c r="G2" t="n">
        <x:v>15</x:v>
      </x:c>
      <x:c r="H2" t="n">
        <x:v>48</x:v>
      </x:c>
      <x:c r="I2" t="n">
        <x:v>18.33</x:v>
      </x:c>
      <x:c r="J2" t="n">
        <x:v>64.85</x:v>
      </x:c>
      <x:c r="K2" t="str">
        <x:v>https://www.orbtronic.com/samsung-18650-30q-3000mah-15a-high-drain-battery-flat-top</x:v>
      </x:c>
    </x:row>
    <x:row r="3">
      <x:c r="A3" t="str">
        <x:v>Samsung INR21700-40T</x:v>
      </x:c>
      <x:c r="B3" t="str">
        <x:v>21700</x:v>
      </x:c>
      <x:c r="C3" t="n">
        <x:v>3.6</x:v>
      </x:c>
      <x:c r="D3" t="n">
        <x:v>4.2</x:v>
      </x:c>
      <x:c r="E3" t="n">
        <x:v>2.5</x:v>
      </x:c>
      <x:c r="F3" t="n">
        <x:v>4</x:v>
      </x:c>
      <x:c r="G3" t="n">
        <x:v>35</x:v>
      </x:c>
      <x:c r="H3" t="n">
        <x:v>70</x:v>
      </x:c>
      <x:c r="I3" t="n">
        <x:v>21.22</x:v>
      </x:c>
      <x:c r="J3" t="n">
        <x:v>70.3</x:v>
      </x:c>
      <x:c r="K3" t="str">
        <x:v>https://files.batteryjunction.com/frontend/files/samsung/datasheet/SAMSUNG-40T-Datasheet.pdf</x:v>
      </x:c>
    </x:row>
    <x:row r="4">
      <x:c r="A4" t="str">
        <x:v>Samsung INR21700-50S</x:v>
      </x:c>
      <x:c r="B4" t="str">
        <x:v>21700</x:v>
      </x:c>
      <x:c r="C4" t="n">
        <x:v>3.6</x:v>
      </x:c>
      <x:c r="D4" t="n">
        <x:v>4.2</x:v>
      </x:c>
      <x:c r="E4" t="n">
        <x:v>2.5</x:v>
      </x:c>
      <x:c r="F4" t="n">
        <x:v>5</x:v>
      </x:c>
      <x:c r="G4" t="n">
        <x:v>25</x:v>
      </x:c>
      <x:c r="H4" t="n">
        <x:v>72</x:v>
      </x:c>
      <x:c r="I4" t="n">
        <x:v>21.45</x:v>
      </x:c>
      <x:c r="J4" t="n">
        <x:v>70.55</x:v>
      </x:c>
      <x:c r="K4" t="str">
        <x:v>https://www.dnkpower.com/samsung-inr21700-50s/</x:v>
      </x:c>
    </x:row>
    <x:row r="5">
      <x:c r="A5" t="str">
        <x:v>Molicel INR18650-P28A</x:v>
      </x:c>
      <x:c r="B5" t="str">
        <x:v>18650</x:v>
      </x:c>
      <x:c r="C5" t="n">
        <x:v>3.6</x:v>
      </x:c>
      <x:c r="D5" t="n">
        <x:v>4.2</x:v>
      </x:c>
      <x:c r="E5" t="n">
        <x:v>2.5</x:v>
      </x:c>
      <x:c r="F5" t="n">
        <x:v>2.8</x:v>
      </x:c>
      <x:c r="G5" t="n">
        <x:v>35</x:v>
      </x:c>
      <x:c r="H5" t="n">
        <x:v>46</x:v>
      </x:c>
      <x:c r="I5" t="n">
        <x:v>18.6</x:v>
      </x:c>
      <x:c r="J5" t="n">
        <x:v>65.2</x:v>
      </x:c>
      <x:c r="K5" t="str">
        <x:v>https://www.molicel.com/product/inr-18650-p28a/</x:v>
      </x:c>
    </x:row>
    <x:row r="6">
      <x:c r="A6" t="str">
        <x:v>Molicel INR21700-P42A</x:v>
      </x:c>
      <x:c r="B6" t="str">
        <x:v>21700</x:v>
      </x:c>
      <x:c r="C6" t="n">
        <x:v>3.6</x:v>
      </x:c>
      <x:c r="D6" t="n">
        <x:v>4.2</x:v>
      </x:c>
      <x:c r="E6" t="n">
        <x:v>2.5</x:v>
      </x:c>
      <x:c r="F6" t="n">
        <x:v>4.2</x:v>
      </x:c>
      <x:c r="G6" t="n">
        <x:v>45</x:v>
      </x:c>
      <x:c r="H6" t="n">
        <x:v>70</x:v>
      </x:c>
      <x:c r="I6" t="n">
        <x:v>21.7</x:v>
      </x:c>
      <x:c r="J6" t="n">
        <x:v>70.2</x:v>
      </x:c>
      <x:c r="K6" t="str">
        <x:v>https://www.molicel.com/product/inr-21700-p42a/</x:v>
      </x:c>
    </x:row>
    <x:row r="7">
      <x:c r="A7" t="str">
        <x:v>Molicel INR21700-P45B</x:v>
      </x:c>
      <x:c r="B7" t="str">
        <x:v>21700</x:v>
      </x:c>
      <x:c r="C7" t="n">
        <x:v>3.6</x:v>
      </x:c>
      <x:c r="D7" t="n">
        <x:v>4.2</x:v>
      </x:c>
      <x:c r="E7" t="n">
        <x:v>2.5</x:v>
      </x:c>
      <x:c r="F7" t="n">
        <x:v>4.5</x:v>
      </x:c>
      <x:c r="G7" t="n">
        <x:v>45</x:v>
      </x:c>
      <x:c r="H7" t="n">
        <x:v>69</x:v>
      </x:c>
      <x:c r="I7" t="n">
        <x:v>21.6</x:v>
      </x:c>
      <x:c r="J7" t="n">
        <x:v>70.2</x:v>
      </x:c>
      <x:c r="K7" t="str">
        <x:v>https://www.molicel.com/product/inr-21700-p45b/</x:v>
      </x:c>
    </x:row>
    <x:row r="8">
      <x:c r="A8" t="str">
        <x:v>Molicel INR21700-P50B</x:v>
      </x:c>
      <x:c r="B8" t="str">
        <x:v>21700</x:v>
      </x:c>
      <x:c r="C8" t="n">
        <x:v>3.6</x:v>
      </x:c>
      <x:c r="D8" t="n">
        <x:v>4.2</x:v>
      </x:c>
      <x:c r="E8" t="n">
        <x:v>2.5</x:v>
      </x:c>
      <x:c r="F8" t="n">
        <x:v>5</x:v>
      </x:c>
      <x:c r="G8" t="n">
        <x:v>60</x:v>
      </x:c>
      <x:c r="H8" t="n">
        <x:v>71</x:v>
      </x:c>
      <x:c r="I8" t="n">
        <x:v>21.55</x:v>
      </x:c>
      <x:c r="J8" t="n">
        <x:v>70.15</x:v>
      </x:c>
      <x:c r="K8" t="str">
        <x:v>https://www.molicel.com/product/inr-21700-p50b/</x:v>
      </x:c>
    </x:row>
    <x:row r="9">
      <x:c r="A9" t="str">
        <x:v>Murata US18650VTC6</x:v>
      </x:c>
      <x:c r="B9" t="str">
        <x:v>18650</x:v>
      </x:c>
      <x:c r="C9" t="n">
        <x:v>3.6</x:v>
      </x:c>
      <x:c r="D9" t="n">
        <x:v>4.2</x:v>
      </x:c>
      <x:c r="E9" t="n">
        <x:v>2</x:v>
      </x:c>
      <x:c r="F9" t="n">
        <x:v>3.12</x:v>
      </x:c>
      <x:c r="G9" t="n">
        <x:v>30</x:v>
      </x:c>
      <x:c r="H9" t="n">
        <x:v>46.6</x:v>
      </x:c>
      <x:c r="I9" t="n">
        <x:v>18.5</x:v>
      </x:c>
      <x:c r="J9" t="n">
        <x:v>65.2</x:v>
      </x:c>
      <x:c r="K9" t="str">
        <x:v>https://www.murata.com/-/media/webrenewal/products/batteries/cylindrical/datasheet/us18650vtc6-product-datasheet.ashx</x:v>
      </x:c>
    </x:row>
    <x:row r="10">
      <x:c r="A10" t="str">
        <x:v>Murata US21700VTC6A</x:v>
      </x:c>
      <x:c r="B10" t="str">
        <x:v>21700</x:v>
      </x:c>
      <x:c r="C10" t="n">
        <x:v>3.6</x:v>
      </x:c>
      <x:c r="D10" t="n">
        <x:v>4.2</x:v>
      </x:c>
      <x:c r="E10" t="n">
        <x:v>2.5</x:v>
      </x:c>
      <x:c r="F10" t="n">
        <x:v>4.1</x:v>
      </x:c>
      <x:c r="G10" t="n">
        <x:v>40</x:v>
      </x:c>
      <x:c r="H10" t="n">
        <x:v>67.5</x:v>
      </x:c>
      <x:c r="I10" t="n">
        <x:v>21</x:v>
      </x:c>
      <x:c r="J10" t="n">
        <x:v>70</x:v>
      </x:c>
      <x:c r="K10" t="str">
        <x:v>https://www.murata.com/products/batteries/cylindrical</x:v>
      </x:c>
    </x:row>
    <x:row r="11">
      <x:c r="A11" t="str">
        <x:v>Samsung INR21700-50E</x:v>
      </x:c>
      <x:c r="B11" t="str">
        <x:v>21700</x:v>
      </x:c>
      <x:c r="C11" t="n">
        <x:v>3.6</x:v>
      </x:c>
      <x:c r="D11" t="n">
        <x:v>4.2</x:v>
      </x:c>
      <x:c r="E11" t="n">
        <x:v>2.5</x:v>
      </x:c>
      <x:c r="F11" t="n">
        <x:v>4.9</x:v>
      </x:c>
      <x:c r="G11" t="n">
        <x:v>9.8</x:v>
      </x:c>
      <x:c r="H11" t="n">
        <x:v>69</x:v>
      </x:c>
      <x:c r="I11" t="n">
        <x:v>21.25</x:v>
      </x:c>
      <x:c r="J11" t="n">
        <x:v>70.8</x:v>
      </x:c>
      <x:c r="K11" t="str">
        <x:v>https://www.dnkpower.com/li-ion-18650-battery/</x:v>
      </x:c>
    </x:row>
  </x:sheetData>
  <x:pageMargins left="0.7" right="0.7" top="0.75" bottom="0.75" header="0.3" footer="0.3"/>
</x:worksheet>
</file>